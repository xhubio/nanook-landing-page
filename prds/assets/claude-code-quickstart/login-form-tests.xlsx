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" state="visible" r:id="rId4"/>
    <sheet sheetId="2" name="Login" state="visible" r:id="rId5"/>
  </sheets>
  <calcPr calcId="171027"/>
</workbook>
</file>

<file path=xl/sharedStrings.xml><?xml version="1.0" encoding="utf-8"?>
<sst xmlns="http://schemas.openxmlformats.org/spreadsheetml/2006/main" count="278" uniqueCount="118">
  <si>
    <t>&lt;DECISION_TABLE&gt;</t>
  </si>
  <si>
    <t>Section</t>
  </si>
  <si>
    <t>Equivalence class</t>
  </si>
  <si>
    <t>Generator</t>
  </si>
  <si>
    <t>Comment</t>
  </si>
  <si>
    <t>email_invalid_1</t>
  </si>
  <si>
    <t>email_invalid_2</t>
  </si>
  <si>
    <t>email_invalid_3</t>
  </si>
  <si>
    <t>email_invalid_4</t>
  </si>
  <si>
    <t>password_invalid_1</t>
  </si>
  <si>
    <t>password_invalid_2</t>
  </si>
  <si>
    <t>valid_1</t>
  </si>
  <si>
    <t>Execute</t>
  </si>
  <si>
    <t>ExecuteSection</t>
  </si>
  <si>
    <t>F</t>
  </si>
  <si>
    <t>Multiply</t>
  </si>
  <si>
    <t>MultiplicitySection</t>
  </si>
  <si>
    <t>Zugangsdaten</t>
  </si>
  <si>
    <t>FieldSection</t>
  </si>
  <si>
    <t>email</t>
  </si>
  <si>
    <t>FieldSubSection</t>
  </si>
  <si>
    <t>valid</t>
  </si>
  <si>
    <t>gen:1:faker:internet.email</t>
  </si>
  <si>
    <t>Gültige E-Mail-Adresse</t>
  </si>
  <si>
    <t>x</t>
  </si>
  <si>
    <t>empty</t>
  </si>
  <si>
    <t>gen::text:empty</t>
  </si>
  <si>
    <t>Pflichtfeld leer (Leerstring, damit Feldreferenzen auflösbar bleiben)</t>
  </si>
  <si>
    <t>whitespace</t>
  </si>
  <si>
    <t>gen::text:spaces:3</t>
  </si>
  <si>
    <t>Nur Leerzeichen (Importer trimmt Zellen, daher per Generator)</t>
  </si>
  <si>
    <t>invalidFormat</t>
  </si>
  <si>
    <t>not-an-email</t>
  </si>
  <si>
    <t>Kein @, kein gültiges Format</t>
  </si>
  <si>
    <t>tooLong</t>
  </si>
  <si>
    <t>gen::text:email:250</t>
  </si>
  <si>
    <t>262 Zeichen; Annahme: max. 254 (RFC 5321)</t>
  </si>
  <si>
    <t>password</t>
  </si>
  <si>
    <t>gen:1:faker:internet.password</t>
  </si>
  <si>
    <t>Gültiges Passwort (Faker, 15 Zeichen)</t>
  </si>
  <si>
    <t>a</t>
  </si>
  <si>
    <t>Pflichtfeld leer (Leerstring)</t>
  </si>
  <si>
    <t>e</t>
  </si>
  <si>
    <t>gen::text:alpha:200</t>
  </si>
  <si>
    <t>200 Zeichen; Annahme: max. 128</t>
  </si>
  <si>
    <t>Summary</t>
  </si>
  <si>
    <t>SummarySection</t>
  </si>
  <si>
    <t>Expected Result</t>
  </si>
  <si>
    <t>MultiRowSection</t>
  </si>
  <si>
    <t>Zugangsdaten gültig, kein Feldfehler</t>
  </si>
  <si>
    <t>EMAIL_EMPTY</t>
  </si>
  <si>
    <t>E-Mail ist Pflichtfeld</t>
  </si>
  <si>
    <t>EMAIL_WHITESPACE</t>
  </si>
  <si>
    <t>E-Mail darf nicht nur aus Leerzeichen bestehen</t>
  </si>
  <si>
    <t>EMAIL_FORMAT</t>
  </si>
  <si>
    <t>E-Mail hat ein ungültiges Format</t>
  </si>
  <si>
    <t>EMAIL_TOO_LONG</t>
  </si>
  <si>
    <t>E-Mail überschreitet die maximale Länge</t>
  </si>
  <si>
    <t>PASSWORD_EMPTY</t>
  </si>
  <si>
    <t>Passwort ist Pflichtfeld</t>
  </si>
  <si>
    <t>PASSWORD_TOO_LONG</t>
  </si>
  <si>
    <t>Passwort überschreitet die maximale Länge</t>
  </si>
  <si>
    <t>Category</t>
  </si>
  <si>
    <t>TagSection</t>
  </si>
  <si>
    <t>negative</t>
  </si>
  <si>
    <t>&lt;END&gt;</t>
  </si>
  <si>
    <t>user_unknown</t>
  </si>
  <si>
    <t>user_notVerified</t>
  </si>
  <si>
    <t>email_invalid</t>
  </si>
  <si>
    <t>password_wrong</t>
  </si>
  <si>
    <t>password_invalid</t>
  </si>
  <si>
    <t>valid_rememberMe</t>
  </si>
  <si>
    <t>T</t>
  </si>
  <si>
    <t>Sekundärdaten (Basiszustand)</t>
  </si>
  <si>
    <t>session</t>
  </si>
  <si>
    <t>loggedOut</t>
  </si>
  <si>
    <t>Niemand angemeldet, Login-Seite erreichbar</t>
  </si>
  <si>
    <t>existingUser</t>
  </si>
  <si>
    <t>registered</t>
  </si>
  <si>
    <t>ref:1:User:email:valid_1</t>
  </si>
  <si>
    <t>User-Instanz 1 wird vor dem Test per API angelegt (Wert = dessen E-Mail, Daten unter data.User)</t>
  </si>
  <si>
    <t>none</t>
  </si>
  <si>
    <t>Kein Benutzer angelegt → die eingegebene E-Mail ist unbekannt</t>
  </si>
  <si>
    <t>emailVerified</t>
  </si>
  <si>
    <t>yes</t>
  </si>
  <si>
    <t>Bestätigungslink des angelegten Users wurde aufgerufen</t>
  </si>
  <si>
    <t>no</t>
  </si>
  <si>
    <t>Bestätigungslink nicht aufgerufen</t>
  </si>
  <si>
    <t>i</t>
  </si>
  <si>
    <t>Primärdaten (Eingabe)</t>
  </si>
  <si>
    <t>ofUser1</t>
  </si>
  <si>
    <t>E-Mail der User-Instanz 1</t>
  </si>
  <si>
    <t>invalid</t>
  </si>
  <si>
    <t>ref::User:email:[email_invalid_1-4]</t>
  </si>
  <si>
    <t>Formularfehler E-Mail: je ein Fixture pro User-Klasse</t>
  </si>
  <si>
    <t>ref:1:User:password:valid_1</t>
  </si>
  <si>
    <t>Passwort der User-Instanz 1 (passt zur E-Mail)</t>
  </si>
  <si>
    <t>ofUser2</t>
  </si>
  <si>
    <t>ref:2:User:password:valid_1</t>
  </si>
  <si>
    <t>Gültiges Passwort einer anderen User-Instanz → passt nicht</t>
  </si>
  <si>
    <t>ref::User:password:[password_invalid_1-2]</t>
  </si>
  <si>
    <t>Formularfehler Passwort: je ein Fixture pro User-Klasse</t>
  </si>
  <si>
    <t>rememberMe</t>
  </si>
  <si>
    <t>false</t>
  </si>
  <si>
    <t>Checkbox nicht gesetzt</t>
  </si>
  <si>
    <t>true</t>
  </si>
  <si>
    <t>Checkbox gesetzt; gültige Alternative, steht deshalb als letztes Feld</t>
  </si>
  <si>
    <t>Anmeldung erfolgreich: Weiterleitung, Session-Cookie gesetzt</t>
  </si>
  <si>
    <t>INVALID_CREDENTIALS</t>
  </si>
  <si>
    <t>Anmeldung abgelehnt: E-Mail oder Passwort falsch (keine Unterscheidung nach außen)</t>
  </si>
  <si>
    <t>EMAIL_NOT_VERIFIED</t>
  </si>
  <si>
    <t>Anmeldung abgelehnt: E-Mail-Adresse nicht bestätigt (403)</t>
  </si>
  <si>
    <t>FORM_ERROR_EMAIL</t>
  </si>
  <si>
    <t>Feldfehler am Feld E-Mail; konkreter Code im Expected Result der User-Instanz</t>
  </si>
  <si>
    <t>FORM_ERROR_PASSWORD</t>
  </si>
  <si>
    <t>Feldfehler am Feld Passwort; konkreter Code im Expected Result der User-Instanz</t>
  </si>
  <si>
    <t>SESSION_PERSISTENT</t>
  </si>
  <si>
    <t>Anmeldung erfolgreich; Session bleibt nach Browser-Neustart erhalten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</si>
</sst>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70C0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bottom" textRotation="90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/>
    <xf numFmtId="10" fontId="1" fillId="4" borderId="0" xfId="0" applyNumberFormat="1" applyFont="1" applyFill="1"/>
    <xf numFmtId="0" fontId="1" fillId="4" borderId="0" xfId="0" applyFont="1" applyFill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35" customWidth="1"/>
    <col min="5" max="5" width="45" customWidth="1"/>
    <col min="6" max="12" width="5" customWidth="1"/>
  </cols>
  <sheetData>
    <row r="1" ht="11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3" t="s">
        <v>13</v>
      </c>
      <c r="C2" s="3"/>
      <c r="D2" s="3"/>
      <c r="E2" s="3"/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</row>
    <row r="3" spans="1:12" x14ac:dyDescent="0.25">
      <c r="A3" s="3" t="s">
        <v>15</v>
      </c>
      <c r="B3" s="3" t="s">
        <v>16</v>
      </c>
      <c r="C3" s="3"/>
      <c r="D3" s="3"/>
      <c r="E3" s="3"/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</row>
    <row r="4" spans="1:12" x14ac:dyDescent="0.25">
      <c r="A4" s="3" t="s">
        <v>17</v>
      </c>
      <c r="B4" s="3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 t="s">
        <v>19</v>
      </c>
      <c r="B5" s="3" t="s">
        <v>20</v>
      </c>
      <c r="C5" s="3">
        <f>COUNTA(C6:C10)</f>
        <v>5</v>
      </c>
      <c r="D5" s="3"/>
      <c r="E5" s="3"/>
      <c r="F5" s="4">
        <f>COUNTA(F6:F10)</f>
        <v>1</v>
      </c>
      <c r="G5" s="4">
        <f>COUNTA(G6:G10)</f>
        <v>1</v>
      </c>
      <c r="H5" s="4">
        <f>COUNTA(H6:H10)</f>
        <v>1</v>
      </c>
      <c r="I5" s="4">
        <f>COUNTA(I6:I10)</f>
        <v>1</v>
      </c>
      <c r="J5" s="4">
        <f>COUNTA(J6:J10)</f>
        <v>1</v>
      </c>
      <c r="K5" s="4">
        <f>COUNTA(K6:K10)</f>
        <v>1</v>
      </c>
      <c r="L5" s="4">
        <f>COUNTA(L6:L10)</f>
        <v>1</v>
      </c>
    </row>
    <row r="6" spans="3:12" x14ac:dyDescent="0.25">
      <c r="C6" t="s">
        <v>21</v>
      </c>
      <c r="D6" t="s">
        <v>22</v>
      </c>
      <c r="E6" t="s">
        <v>23</v>
      </c>
      <c r="F6" s="5"/>
      <c r="G6" s="5"/>
      <c r="H6" s="5"/>
      <c r="I6" s="5"/>
      <c r="J6" s="5" t="s">
        <v>24</v>
      </c>
      <c r="K6" s="5" t="s">
        <v>24</v>
      </c>
      <c r="L6" s="5" t="s">
        <v>24</v>
      </c>
    </row>
    <row r="7" spans="3:12" x14ac:dyDescent="0.25">
      <c r="C7" t="s">
        <v>25</v>
      </c>
      <c r="D7" t="s">
        <v>26</v>
      </c>
      <c r="E7" t="s">
        <v>27</v>
      </c>
      <c r="F7" s="5" t="s">
        <v>24</v>
      </c>
      <c r="G7" s="5"/>
      <c r="H7" s="5"/>
      <c r="I7" s="5"/>
      <c r="J7" s="5"/>
      <c r="K7" s="5"/>
      <c r="L7" s="5"/>
    </row>
    <row r="8" spans="3:12" x14ac:dyDescent="0.25">
      <c r="C8" t="s">
        <v>28</v>
      </c>
      <c r="D8" t="s">
        <v>29</v>
      </c>
      <c r="E8" t="s">
        <v>30</v>
      </c>
      <c r="F8" s="5"/>
      <c r="G8" s="5" t="s">
        <v>24</v>
      </c>
      <c r="H8" s="5"/>
      <c r="I8" s="5"/>
      <c r="J8" s="5"/>
      <c r="K8" s="5"/>
      <c r="L8" s="5"/>
    </row>
    <row r="9" spans="3:12" x14ac:dyDescent="0.25">
      <c r="C9" t="s">
        <v>31</v>
      </c>
      <c r="D9" t="s">
        <v>32</v>
      </c>
      <c r="E9" t="s">
        <v>33</v>
      </c>
      <c r="F9" s="5"/>
      <c r="G9" s="5"/>
      <c r="H9" s="5" t="s">
        <v>24</v>
      </c>
      <c r="I9" s="5"/>
      <c r="J9" s="5"/>
      <c r="K9" s="5"/>
      <c r="L9" s="5"/>
    </row>
    <row r="10" spans="3:12" x14ac:dyDescent="0.25">
      <c r="C10" t="s">
        <v>34</v>
      </c>
      <c r="D10" t="s">
        <v>35</v>
      </c>
      <c r="E10" t="s">
        <v>36</v>
      </c>
      <c r="F10" s="5"/>
      <c r="G10" s="5"/>
      <c r="H10" s="5"/>
      <c r="I10" s="5" t="s">
        <v>24</v>
      </c>
      <c r="J10" s="5"/>
      <c r="K10" s="5"/>
      <c r="L10" s="5"/>
    </row>
    <row r="11" spans="1:12" x14ac:dyDescent="0.25">
      <c r="A11" s="3" t="s">
        <v>37</v>
      </c>
      <c r="B11" s="3" t="s">
        <v>20</v>
      </c>
      <c r="C11" s="3">
        <f>COUNTA(C12:C14)</f>
        <v>3</v>
      </c>
      <c r="D11" s="3"/>
      <c r="E11" s="3"/>
      <c r="F11" s="4">
        <f>COUNTA(F12:F14)</f>
        <v>3</v>
      </c>
      <c r="G11" s="4">
        <f>COUNTA(G12:G14)</f>
        <v>3</v>
      </c>
      <c r="H11" s="4">
        <f>COUNTA(H12:H14)</f>
        <v>3</v>
      </c>
      <c r="I11" s="4">
        <f>COUNTA(I12:I14)</f>
        <v>3</v>
      </c>
      <c r="J11" s="4">
        <f>COUNTA(J12:J14)</f>
        <v>1</v>
      </c>
      <c r="K11" s="4">
        <f>COUNTA(K12:K14)</f>
        <v>1</v>
      </c>
      <c r="L11" s="4">
        <f>COUNTA(L12:L14)</f>
        <v>1</v>
      </c>
    </row>
    <row r="12" spans="3:12" x14ac:dyDescent="0.25">
      <c r="C12" t="s">
        <v>21</v>
      </c>
      <c r="D12" t="s">
        <v>38</v>
      </c>
      <c r="E12" t="s">
        <v>39</v>
      </c>
      <c r="F12" s="5" t="s">
        <v>40</v>
      </c>
      <c r="G12" s="5" t="s">
        <v>40</v>
      </c>
      <c r="H12" s="5" t="s">
        <v>40</v>
      </c>
      <c r="I12" s="5" t="s">
        <v>40</v>
      </c>
      <c r="J12" s="5"/>
      <c r="K12" s="5"/>
      <c r="L12" s="5" t="s">
        <v>24</v>
      </c>
    </row>
    <row r="13" spans="3:12" x14ac:dyDescent="0.25">
      <c r="C13" t="s">
        <v>25</v>
      </c>
      <c r="D13" t="s">
        <v>26</v>
      </c>
      <c r="E13" t="s">
        <v>41</v>
      </c>
      <c r="F13" s="5" t="s">
        <v>42</v>
      </c>
      <c r="G13" s="5" t="s">
        <v>42</v>
      </c>
      <c r="H13" s="5" t="s">
        <v>42</v>
      </c>
      <c r="I13" s="5" t="s">
        <v>42</v>
      </c>
      <c r="J13" s="5" t="s">
        <v>24</v>
      </c>
      <c r="K13" s="5"/>
      <c r="L13" s="5"/>
    </row>
    <row r="14" spans="3:12" x14ac:dyDescent="0.25">
      <c r="C14" t="s">
        <v>34</v>
      </c>
      <c r="D14" t="s">
        <v>43</v>
      </c>
      <c r="E14" t="s">
        <v>44</v>
      </c>
      <c r="F14" s="5" t="s">
        <v>42</v>
      </c>
      <c r="G14" s="5" t="s">
        <v>42</v>
      </c>
      <c r="H14" s="5" t="s">
        <v>42</v>
      </c>
      <c r="I14" s="5" t="s">
        <v>42</v>
      </c>
      <c r="J14" s="5"/>
      <c r="K14" s="5" t="s">
        <v>24</v>
      </c>
      <c r="L14" s="5"/>
    </row>
    <row r="15" spans="1:12" x14ac:dyDescent="0.25">
      <c r="A15" s="6" t="s">
        <v>45</v>
      </c>
      <c r="B15" s="6" t="s">
        <v>46</v>
      </c>
      <c r="C15" s="6">
        <f>C5*C11</f>
        <v>15</v>
      </c>
      <c r="D15" s="7">
        <f>E15/C15</f>
        <v>1</v>
      </c>
      <c r="E15" s="6">
        <f>SUM(F15:L15)</f>
        <v>15</v>
      </c>
      <c r="F15" s="8">
        <f>F5*F11</f>
        <v>3</v>
      </c>
      <c r="G15" s="8">
        <f>G5*G11</f>
        <v>3</v>
      </c>
      <c r="H15" s="8">
        <f>H5*H11</f>
        <v>3</v>
      </c>
      <c r="I15" s="8">
        <f>I5*I11</f>
        <v>3</v>
      </c>
      <c r="J15" s="8">
        <f>J5*J11</f>
        <v>1</v>
      </c>
      <c r="K15" s="8">
        <f>K5*K11</f>
        <v>1</v>
      </c>
      <c r="L15" s="8">
        <f>L5*L11</f>
        <v>1</v>
      </c>
    </row>
    <row r="16" spans="1:12" x14ac:dyDescent="0.25">
      <c r="A16" s="9" t="s">
        <v>47</v>
      </c>
      <c r="B16" s="9" t="s">
        <v>48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3:12" x14ac:dyDescent="0.25">
      <c r="C17" t="s">
        <v>21</v>
      </c>
      <c r="D17" t="s">
        <v>49</v>
      </c>
      <c r="F17" s="5"/>
      <c r="G17" s="5"/>
      <c r="H17" s="5"/>
      <c r="I17" s="5"/>
      <c r="J17" s="5"/>
      <c r="K17" s="5"/>
      <c r="L17" s="5" t="s">
        <v>24</v>
      </c>
    </row>
    <row r="18" spans="3:12" x14ac:dyDescent="0.25">
      <c r="C18" t="s">
        <v>50</v>
      </c>
      <c r="D18" t="s">
        <v>51</v>
      </c>
      <c r="F18" s="5" t="s">
        <v>24</v>
      </c>
      <c r="G18" s="5"/>
      <c r="H18" s="5"/>
      <c r="I18" s="5"/>
      <c r="J18" s="5"/>
      <c r="K18" s="5"/>
      <c r="L18" s="5"/>
    </row>
    <row r="19" spans="3:12" x14ac:dyDescent="0.25">
      <c r="C19" t="s">
        <v>52</v>
      </c>
      <c r="D19" t="s">
        <v>53</v>
      </c>
      <c r="F19" s="5"/>
      <c r="G19" s="5" t="s">
        <v>24</v>
      </c>
      <c r="H19" s="5"/>
      <c r="I19" s="5"/>
      <c r="J19" s="5"/>
      <c r="K19" s="5"/>
      <c r="L19" s="5"/>
    </row>
    <row r="20" spans="3:12" x14ac:dyDescent="0.25">
      <c r="C20" t="s">
        <v>54</v>
      </c>
      <c r="D20" t="s">
        <v>55</v>
      </c>
      <c r="F20" s="5"/>
      <c r="G20" s="5"/>
      <c r="H20" s="5" t="s">
        <v>24</v>
      </c>
      <c r="I20" s="5"/>
      <c r="J20" s="5"/>
      <c r="K20" s="5"/>
      <c r="L20" s="5"/>
    </row>
    <row r="21" spans="3:12" x14ac:dyDescent="0.25">
      <c r="C21" t="s">
        <v>56</v>
      </c>
      <c r="D21" t="s">
        <v>57</v>
      </c>
      <c r="F21" s="5"/>
      <c r="G21" s="5"/>
      <c r="H21" s="5"/>
      <c r="I21" s="5" t="s">
        <v>24</v>
      </c>
      <c r="J21" s="5"/>
      <c r="K21" s="5"/>
      <c r="L21" s="5"/>
    </row>
    <row r="22" spans="3:12" x14ac:dyDescent="0.25">
      <c r="C22" t="s">
        <v>58</v>
      </c>
      <c r="D22" t="s">
        <v>59</v>
      </c>
      <c r="F22" s="5"/>
      <c r="G22" s="5"/>
      <c r="H22" s="5"/>
      <c r="I22" s="5"/>
      <c r="J22" s="5" t="s">
        <v>24</v>
      </c>
      <c r="K22" s="5"/>
      <c r="L22" s="5"/>
    </row>
    <row r="23" spans="3:12" x14ac:dyDescent="0.25">
      <c r="C23" t="s">
        <v>60</v>
      </c>
      <c r="D23" t="s">
        <v>61</v>
      </c>
      <c r="F23" s="5"/>
      <c r="G23" s="5"/>
      <c r="H23" s="5"/>
      <c r="I23" s="5"/>
      <c r="J23" s="5"/>
      <c r="K23" s="5" t="s">
        <v>24</v>
      </c>
      <c r="L23" s="5"/>
    </row>
    <row r="24" spans="1:12" x14ac:dyDescent="0.25">
      <c r="A24" s="3" t="s">
        <v>62</v>
      </c>
      <c r="B24" s="3" t="s">
        <v>63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3:12" x14ac:dyDescent="0.25">
      <c r="C25" t="s">
        <v>64</v>
      </c>
      <c r="F25" s="5" t="s">
        <v>24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/>
    </row>
    <row r="26" spans="3:12" x14ac:dyDescent="0.25">
      <c r="C26" t="s">
        <v>21</v>
      </c>
      <c r="F26" s="5"/>
      <c r="G26" s="5"/>
      <c r="H26" s="5"/>
      <c r="I26" s="5"/>
      <c r="J26" s="5"/>
      <c r="K26" s="5"/>
      <c r="L26" s="5" t="s">
        <v>24</v>
      </c>
    </row>
    <row r="27" spans="1:12" x14ac:dyDescent="0.25">
      <c r="A27" s="3" t="s">
        <v>65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35" customWidth="1"/>
    <col min="5" max="5" width="45" customWidth="1"/>
    <col min="6" max="12" width="5" customWidth="1"/>
  </cols>
  <sheetData>
    <row r="1" ht="11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11</v>
      </c>
    </row>
    <row r="2" spans="1:12" x14ac:dyDescent="0.25">
      <c r="A2" s="3" t="s">
        <v>12</v>
      </c>
      <c r="B2" s="3" t="s">
        <v>13</v>
      </c>
      <c r="C2" s="3"/>
      <c r="D2" s="3"/>
      <c r="E2" s="3"/>
      <c r="F2" s="4" t="s">
        <v>72</v>
      </c>
      <c r="G2" s="4" t="s">
        <v>72</v>
      </c>
      <c r="H2" s="4" t="s">
        <v>72</v>
      </c>
      <c r="I2" s="4" t="s">
        <v>72</v>
      </c>
      <c r="J2" s="4" t="s">
        <v>72</v>
      </c>
      <c r="K2" s="4" t="s">
        <v>72</v>
      </c>
      <c r="L2" s="4" t="s">
        <v>72</v>
      </c>
    </row>
    <row r="3" spans="1:12" x14ac:dyDescent="0.25">
      <c r="A3" s="3" t="s">
        <v>15</v>
      </c>
      <c r="B3" s="3" t="s">
        <v>16</v>
      </c>
      <c r="C3" s="3"/>
      <c r="D3" s="3"/>
      <c r="E3" s="3"/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</row>
    <row r="4" spans="1:12" x14ac:dyDescent="0.25">
      <c r="A4" s="3" t="s">
        <v>73</v>
      </c>
      <c r="B4" s="3" t="s">
        <v>18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 t="s">
        <v>74</v>
      </c>
      <c r="B5" s="3" t="s">
        <v>20</v>
      </c>
      <c r="C5" s="3">
        <f>COUNTA(C6:C6)</f>
        <v>1</v>
      </c>
      <c r="D5" s="3"/>
      <c r="E5" s="3"/>
      <c r="F5" s="4">
        <f>COUNTA(F6:F6)</f>
        <v>1</v>
      </c>
      <c r="G5" s="4">
        <f>COUNTA(G6:G6)</f>
        <v>1</v>
      </c>
      <c r="H5" s="4">
        <f>COUNTA(H6:H6)</f>
        <v>1</v>
      </c>
      <c r="I5" s="4">
        <f>COUNTA(I6:I6)</f>
        <v>1</v>
      </c>
      <c r="J5" s="4">
        <f>COUNTA(J6:J6)</f>
        <v>1</v>
      </c>
      <c r="K5" s="4">
        <f>COUNTA(K6:K6)</f>
        <v>1</v>
      </c>
      <c r="L5" s="4">
        <f>COUNTA(L6:L6)</f>
        <v>1</v>
      </c>
    </row>
    <row r="6" spans="3:12" x14ac:dyDescent="0.25">
      <c r="C6" t="s">
        <v>75</v>
      </c>
      <c r="D6" t="s">
        <v>75</v>
      </c>
      <c r="E6" t="s">
        <v>76</v>
      </c>
      <c r="F6" s="5" t="s">
        <v>24</v>
      </c>
      <c r="G6" s="5" t="s">
        <v>24</v>
      </c>
      <c r="H6" s="5" t="s">
        <v>24</v>
      </c>
      <c r="I6" s="5" t="s">
        <v>24</v>
      </c>
      <c r="J6" s="5" t="s">
        <v>24</v>
      </c>
      <c r="K6" s="5" t="s">
        <v>24</v>
      </c>
      <c r="L6" s="5" t="s">
        <v>24</v>
      </c>
    </row>
    <row r="7" spans="1:12" x14ac:dyDescent="0.25">
      <c r="A7" s="3" t="s">
        <v>77</v>
      </c>
      <c r="B7" s="3" t="s">
        <v>20</v>
      </c>
      <c r="C7" s="3">
        <f>COUNTA(C8:C9)</f>
        <v>2</v>
      </c>
      <c r="D7" s="3"/>
      <c r="E7" s="3"/>
      <c r="F7" s="4">
        <f>COUNTA(F8:F9)</f>
        <v>1</v>
      </c>
      <c r="G7" s="4">
        <f>COUNTA(G8:G9)</f>
        <v>1</v>
      </c>
      <c r="H7" s="4">
        <f>COUNTA(H8:H9)</f>
        <v>1</v>
      </c>
      <c r="I7" s="4">
        <f>COUNTA(I8:I9)</f>
        <v>1</v>
      </c>
      <c r="J7" s="4">
        <f>COUNTA(J8:J9)</f>
        <v>1</v>
      </c>
      <c r="K7" s="4">
        <f>COUNTA(K8:K9)</f>
        <v>1</v>
      </c>
      <c r="L7" s="4">
        <f>COUNTA(L8:L9)</f>
        <v>1</v>
      </c>
    </row>
    <row r="8" spans="3:12" x14ac:dyDescent="0.25">
      <c r="C8" t="s">
        <v>78</v>
      </c>
      <c r="D8" t="s">
        <v>79</v>
      </c>
      <c r="E8" t="s">
        <v>80</v>
      </c>
      <c r="F8" s="5"/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</row>
    <row r="9" spans="3:12" x14ac:dyDescent="0.25">
      <c r="C9" t="s">
        <v>81</v>
      </c>
      <c r="D9" t="s">
        <v>81</v>
      </c>
      <c r="E9" t="s">
        <v>82</v>
      </c>
      <c r="F9" s="5" t="s">
        <v>24</v>
      </c>
      <c r="G9" s="5"/>
      <c r="H9" s="5"/>
      <c r="I9" s="5"/>
      <c r="J9" s="5"/>
      <c r="K9" s="5"/>
      <c r="L9" s="5"/>
    </row>
    <row r="10" spans="1:12" x14ac:dyDescent="0.25">
      <c r="A10" s="3" t="s">
        <v>83</v>
      </c>
      <c r="B10" s="3" t="s">
        <v>20</v>
      </c>
      <c r="C10" s="3">
        <f>COUNTA(C11:C12)</f>
        <v>2</v>
      </c>
      <c r="D10" s="3"/>
      <c r="E10" s="3"/>
      <c r="F10" s="4">
        <f>COUNTA(F11:F12)</f>
        <v>2</v>
      </c>
      <c r="G10" s="4">
        <f>COUNTA(G11:G12)</f>
        <v>1</v>
      </c>
      <c r="H10" s="4">
        <f>COUNTA(H11:H12)</f>
        <v>1</v>
      </c>
      <c r="I10" s="4">
        <f>COUNTA(I11:I12)</f>
        <v>1</v>
      </c>
      <c r="J10" s="4">
        <f>COUNTA(J11:J12)</f>
        <v>1</v>
      </c>
      <c r="K10" s="4">
        <f>COUNTA(K11:K12)</f>
        <v>1</v>
      </c>
      <c r="L10" s="4">
        <f>COUNTA(L11:L12)</f>
        <v>1</v>
      </c>
    </row>
    <row r="11" spans="3:12" x14ac:dyDescent="0.25">
      <c r="C11" t="s">
        <v>84</v>
      </c>
      <c r="D11" t="s">
        <v>84</v>
      </c>
      <c r="E11" t="s">
        <v>85</v>
      </c>
      <c r="F11" s="5" t="s">
        <v>24</v>
      </c>
      <c r="G11" s="5"/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</row>
    <row r="12" spans="3:12" x14ac:dyDescent="0.25">
      <c r="C12" t="s">
        <v>86</v>
      </c>
      <c r="D12" t="s">
        <v>86</v>
      </c>
      <c r="E12" t="s">
        <v>87</v>
      </c>
      <c r="F12" s="5" t="s">
        <v>88</v>
      </c>
      <c r="G12" s="5" t="s">
        <v>24</v>
      </c>
      <c r="H12" s="5"/>
      <c r="I12" s="5"/>
      <c r="J12" s="5"/>
      <c r="K12" s="5"/>
      <c r="L12" s="5"/>
    </row>
    <row r="13" spans="1:12" x14ac:dyDescent="0.25">
      <c r="A13" s="3" t="s">
        <v>89</v>
      </c>
      <c r="B13" s="3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 t="s">
        <v>19</v>
      </c>
      <c r="B14" s="3" t="s">
        <v>20</v>
      </c>
      <c r="C14" s="3">
        <f>COUNTA(C15:C16)</f>
        <v>2</v>
      </c>
      <c r="D14" s="3"/>
      <c r="E14" s="3"/>
      <c r="F14" s="4">
        <f>COUNTA(F15:F16)</f>
        <v>2</v>
      </c>
      <c r="G14" s="4">
        <f>COUNTA(G15:G16)</f>
        <v>2</v>
      </c>
      <c r="H14" s="4">
        <f>COUNTA(H15:H16)</f>
        <v>1</v>
      </c>
      <c r="I14" s="4">
        <f>COUNTA(I15:I16)</f>
        <v>1</v>
      </c>
      <c r="J14" s="4">
        <f>COUNTA(J15:J16)</f>
        <v>1</v>
      </c>
      <c r="K14" s="4">
        <f>COUNTA(K15:K16)</f>
        <v>1</v>
      </c>
      <c r="L14" s="4">
        <f>COUNTA(L15:L16)</f>
        <v>1</v>
      </c>
    </row>
    <row r="15" spans="3:12" x14ac:dyDescent="0.25">
      <c r="C15" t="s">
        <v>90</v>
      </c>
      <c r="D15" t="s">
        <v>79</v>
      </c>
      <c r="E15" t="s">
        <v>91</v>
      </c>
      <c r="F15" s="5" t="s">
        <v>40</v>
      </c>
      <c r="G15" s="5" t="s">
        <v>40</v>
      </c>
      <c r="H15" s="5"/>
      <c r="I15" s="5" t="s">
        <v>24</v>
      </c>
      <c r="J15" s="5" t="s">
        <v>24</v>
      </c>
      <c r="K15" s="5" t="s">
        <v>24</v>
      </c>
      <c r="L15" s="5" t="s">
        <v>24</v>
      </c>
    </row>
    <row r="16" spans="3:12" x14ac:dyDescent="0.25">
      <c r="C16" t="s">
        <v>92</v>
      </c>
      <c r="D16" t="s">
        <v>93</v>
      </c>
      <c r="E16" t="s">
        <v>94</v>
      </c>
      <c r="F16" s="5" t="s">
        <v>42</v>
      </c>
      <c r="G16" s="5" t="s">
        <v>42</v>
      </c>
      <c r="H16" s="5" t="s">
        <v>24</v>
      </c>
      <c r="I16" s="5"/>
      <c r="J16" s="5"/>
      <c r="K16" s="5"/>
      <c r="L16" s="5"/>
    </row>
    <row r="17" spans="1:12" x14ac:dyDescent="0.25">
      <c r="A17" s="3" t="s">
        <v>37</v>
      </c>
      <c r="B17" s="3" t="s">
        <v>20</v>
      </c>
      <c r="C17" s="3">
        <f>COUNTA(C18:C20)</f>
        <v>3</v>
      </c>
      <c r="D17" s="3"/>
      <c r="E17" s="3"/>
      <c r="F17" s="4">
        <f>COUNTA(F18:F20)</f>
        <v>3</v>
      </c>
      <c r="G17" s="4">
        <f>COUNTA(G18:G20)</f>
        <v>3</v>
      </c>
      <c r="H17" s="4">
        <f>COUNTA(H18:H20)</f>
        <v>3</v>
      </c>
      <c r="I17" s="4">
        <f>COUNTA(I18:I20)</f>
        <v>1</v>
      </c>
      <c r="J17" s="4">
        <f>COUNTA(J18:J20)</f>
        <v>1</v>
      </c>
      <c r="K17" s="4">
        <f>COUNTA(K18:K20)</f>
        <v>1</v>
      </c>
      <c r="L17" s="4">
        <f>COUNTA(L18:L20)</f>
        <v>1</v>
      </c>
    </row>
    <row r="18" spans="3:12" x14ac:dyDescent="0.25">
      <c r="C18" t="s">
        <v>90</v>
      </c>
      <c r="D18" t="s">
        <v>95</v>
      </c>
      <c r="E18" t="s">
        <v>96</v>
      </c>
      <c r="F18" s="5" t="s">
        <v>40</v>
      </c>
      <c r="G18" s="5" t="s">
        <v>40</v>
      </c>
      <c r="H18" s="5" t="s">
        <v>40</v>
      </c>
      <c r="I18" s="5"/>
      <c r="J18" s="5"/>
      <c r="K18" s="5" t="s">
        <v>24</v>
      </c>
      <c r="L18" s="5" t="s">
        <v>24</v>
      </c>
    </row>
    <row r="19" spans="3:12" x14ac:dyDescent="0.25">
      <c r="C19" t="s">
        <v>97</v>
      </c>
      <c r="D19" t="s">
        <v>98</v>
      </c>
      <c r="E19" t="s">
        <v>99</v>
      </c>
      <c r="F19" s="5" t="s">
        <v>42</v>
      </c>
      <c r="G19" s="5" t="s">
        <v>42</v>
      </c>
      <c r="H19" s="5" t="s">
        <v>42</v>
      </c>
      <c r="I19" s="5" t="s">
        <v>24</v>
      </c>
      <c r="J19" s="5"/>
      <c r="K19" s="5"/>
      <c r="L19" s="5"/>
    </row>
    <row r="20" spans="3:12" x14ac:dyDescent="0.25">
      <c r="C20" t="s">
        <v>92</v>
      </c>
      <c r="D20" t="s">
        <v>100</v>
      </c>
      <c r="E20" t="s">
        <v>101</v>
      </c>
      <c r="F20" s="5" t="s">
        <v>42</v>
      </c>
      <c r="G20" s="5" t="s">
        <v>42</v>
      </c>
      <c r="H20" s="5" t="s">
        <v>42</v>
      </c>
      <c r="I20" s="5"/>
      <c r="J20" s="5" t="s">
        <v>24</v>
      </c>
      <c r="K20" s="5"/>
      <c r="L20" s="5"/>
    </row>
    <row r="21" spans="1:12" x14ac:dyDescent="0.25">
      <c r="A21" s="3" t="s">
        <v>102</v>
      </c>
      <c r="B21" s="3" t="s">
        <v>20</v>
      </c>
      <c r="C21" s="3">
        <f>COUNTA(C22:C23)</f>
        <v>2</v>
      </c>
      <c r="D21" s="3"/>
      <c r="E21" s="3"/>
      <c r="F21" s="4">
        <f>COUNTA(F22:F23)</f>
        <v>2</v>
      </c>
      <c r="G21" s="4">
        <f>COUNTA(G22:G23)</f>
        <v>2</v>
      </c>
      <c r="H21" s="4">
        <f>COUNTA(H22:H23)</f>
        <v>2</v>
      </c>
      <c r="I21" s="4">
        <f>COUNTA(I22:I23)</f>
        <v>2</v>
      </c>
      <c r="J21" s="4">
        <f>COUNTA(J22:J23)</f>
        <v>2</v>
      </c>
      <c r="K21" s="4">
        <f>COUNTA(K22:K23)</f>
        <v>1</v>
      </c>
      <c r="L21" s="4">
        <f>COUNTA(L22:L23)</f>
        <v>1</v>
      </c>
    </row>
    <row r="22" spans="3:12" x14ac:dyDescent="0.25">
      <c r="C22" t="s">
        <v>103</v>
      </c>
      <c r="D22" t="s">
        <v>103</v>
      </c>
      <c r="E22" t="s">
        <v>104</v>
      </c>
      <c r="F22" s="5" t="s">
        <v>40</v>
      </c>
      <c r="G22" s="5" t="s">
        <v>40</v>
      </c>
      <c r="H22" s="5" t="s">
        <v>40</v>
      </c>
      <c r="I22" s="5" t="s">
        <v>40</v>
      </c>
      <c r="J22" s="5" t="s">
        <v>40</v>
      </c>
      <c r="K22" s="5"/>
      <c r="L22" s="5" t="s">
        <v>24</v>
      </c>
    </row>
    <row r="23" spans="3:12" x14ac:dyDescent="0.25">
      <c r="C23" t="s">
        <v>105</v>
      </c>
      <c r="D23" t="s">
        <v>105</v>
      </c>
      <c r="E23" t="s">
        <v>106</v>
      </c>
      <c r="F23" s="5" t="s">
        <v>42</v>
      </c>
      <c r="G23" s="5" t="s">
        <v>42</v>
      </c>
      <c r="H23" s="5" t="s">
        <v>42</v>
      </c>
      <c r="I23" s="5" t="s">
        <v>42</v>
      </c>
      <c r="J23" s="5" t="s">
        <v>42</v>
      </c>
      <c r="K23" s="5" t="s">
        <v>24</v>
      </c>
      <c r="L23" s="5"/>
    </row>
    <row r="24" spans="1:12" x14ac:dyDescent="0.25">
      <c r="A24" s="6" t="s">
        <v>45</v>
      </c>
      <c r="B24" s="6" t="s">
        <v>46</v>
      </c>
      <c r="C24" s="6">
        <f>C5*C7*C10*C14*C17*C21</f>
        <v>48</v>
      </c>
      <c r="D24" s="7">
        <f>E24/C24</f>
        <v>1</v>
      </c>
      <c r="E24" s="6">
        <f>SUM(F24:L24)</f>
        <v>48</v>
      </c>
      <c r="F24" s="8">
        <f>F5*F7*F10*F14*F17*F21</f>
        <v>24</v>
      </c>
      <c r="G24" s="8">
        <f>G5*G7*G10*G14*G17*G21</f>
        <v>12</v>
      </c>
      <c r="H24" s="8">
        <f>H5*H7*H10*H14*H17*H21</f>
        <v>6</v>
      </c>
      <c r="I24" s="8">
        <f>I5*I7*I10*I14*I17*I21</f>
        <v>2</v>
      </c>
      <c r="J24" s="8">
        <f>J5*J7*J10*J14*J17*J21</f>
        <v>2</v>
      </c>
      <c r="K24" s="8">
        <f>K5*K7*K10*K14*K17*K21</f>
        <v>1</v>
      </c>
      <c r="L24" s="8">
        <f>L5*L7*L10*L14*L17*L21</f>
        <v>1</v>
      </c>
    </row>
    <row r="25" spans="1:12" x14ac:dyDescent="0.25">
      <c r="A25" s="9" t="s">
        <v>47</v>
      </c>
      <c r="B25" s="9" t="s">
        <v>48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3:12" x14ac:dyDescent="0.25">
      <c r="C26" t="s">
        <v>21</v>
      </c>
      <c r="D26" t="s">
        <v>107</v>
      </c>
      <c r="F26" s="5"/>
      <c r="G26" s="5"/>
      <c r="H26" s="5"/>
      <c r="I26" s="5"/>
      <c r="J26" s="5"/>
      <c r="K26" s="5"/>
      <c r="L26" s="5" t="s">
        <v>24</v>
      </c>
    </row>
    <row r="27" spans="3:12" x14ac:dyDescent="0.25">
      <c r="C27" t="s">
        <v>108</v>
      </c>
      <c r="D27" t="s">
        <v>109</v>
      </c>
      <c r="F27" s="5" t="s">
        <v>24</v>
      </c>
      <c r="G27" s="5"/>
      <c r="H27" s="5"/>
      <c r="I27" s="5" t="s">
        <v>24</v>
      </c>
      <c r="J27" s="5"/>
      <c r="K27" s="5"/>
      <c r="L27" s="5"/>
    </row>
    <row r="28" spans="3:12" x14ac:dyDescent="0.25">
      <c r="C28" t="s">
        <v>110</v>
      </c>
      <c r="D28" t="s">
        <v>111</v>
      </c>
      <c r="F28" s="5"/>
      <c r="G28" s="5" t="s">
        <v>24</v>
      </c>
      <c r="H28" s="5"/>
      <c r="I28" s="5"/>
      <c r="J28" s="5"/>
      <c r="K28" s="5"/>
      <c r="L28" s="5"/>
    </row>
    <row r="29" spans="3:12" x14ac:dyDescent="0.25">
      <c r="C29" t="s">
        <v>112</v>
      </c>
      <c r="D29" t="s">
        <v>113</v>
      </c>
      <c r="F29" s="5"/>
      <c r="G29" s="5"/>
      <c r="H29" s="5" t="s">
        <v>24</v>
      </c>
      <c r="I29" s="5"/>
      <c r="J29" s="5"/>
      <c r="K29" s="5"/>
      <c r="L29" s="5"/>
    </row>
    <row r="30" spans="3:12" x14ac:dyDescent="0.25">
      <c r="C30" t="s">
        <v>114</v>
      </c>
      <c r="D30" t="s">
        <v>115</v>
      </c>
      <c r="F30" s="5"/>
      <c r="G30" s="5"/>
      <c r="H30" s="5"/>
      <c r="I30" s="5"/>
      <c r="J30" s="5" t="s">
        <v>24</v>
      </c>
      <c r="K30" s="5"/>
      <c r="L30" s="5"/>
    </row>
    <row r="31" spans="3:12" x14ac:dyDescent="0.25">
      <c r="C31" t="s">
        <v>116</v>
      </c>
      <c r="D31" t="s">
        <v>117</v>
      </c>
      <c r="F31" s="5"/>
      <c r="G31" s="5"/>
      <c r="H31" s="5"/>
      <c r="I31" s="5"/>
      <c r="J31" s="5"/>
      <c r="K31" s="5" t="s">
        <v>24</v>
      </c>
      <c r="L31" s="5"/>
    </row>
    <row r="32" spans="1:12" x14ac:dyDescent="0.25">
      <c r="A32" s="3" t="s">
        <v>62</v>
      </c>
      <c r="B32" s="3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3:12" x14ac:dyDescent="0.25">
      <c r="C33" t="s">
        <v>64</v>
      </c>
      <c r="F33" s="5" t="s">
        <v>24</v>
      </c>
      <c r="G33" s="5" t="s">
        <v>24</v>
      </c>
      <c r="H33" s="5" t="s">
        <v>24</v>
      </c>
      <c r="I33" s="5" t="s">
        <v>24</v>
      </c>
      <c r="J33" s="5" t="s">
        <v>24</v>
      </c>
      <c r="K33" s="5"/>
      <c r="L33" s="5"/>
    </row>
    <row r="34" spans="3:12" x14ac:dyDescent="0.25">
      <c r="C34" t="s">
        <v>21</v>
      </c>
      <c r="F34" s="5"/>
      <c r="G34" s="5"/>
      <c r="H34" s="5"/>
      <c r="I34" s="5"/>
      <c r="J34" s="5"/>
      <c r="K34" s="5" t="s">
        <v>24</v>
      </c>
      <c r="L34" s="5" t="s">
        <v>24</v>
      </c>
    </row>
    <row r="35" spans="1:12" x14ac:dyDescent="0.25">
      <c r="A35" s="3" t="s">
        <v>65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create-login-form-table.ts</dc:creator>
  <dc:title/>
  <dc:subject/>
  <dc:description/>
  <cp:keywords/>
  <cp:category/>
  <cp:lastModifiedBy>Unknown</cp:lastModifiedBy>
  <dcterms:created xsi:type="dcterms:W3CDTF">2026-09-02T10:31:55Z</dcterms:created>
  <dcterms:modified xsi:type="dcterms:W3CDTF">2026-09-02T10:31:55Z</dcterms:modified>
</cp:coreProperties>
</file>