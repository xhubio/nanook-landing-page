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" state="visible" r:id="rId4"/>
    <sheet sheetId="2" name="Login" state="visible" r:id="rId5"/>
  </sheets>
  <calcPr calcId="171027"/>
</workbook>
</file>

<file path=xl/sharedStrings.xml><?xml version="1.0" encoding="utf-8"?>
<sst xmlns="http://schemas.openxmlformats.org/spreadsheetml/2006/main" count="206" uniqueCount="93">
  <si>
    <t>&lt;DECISION_TABLE&gt;</t>
  </si>
  <si>
    <t>invalid_1</t>
  </si>
  <si>
    <t>invalid_2</t>
  </si>
  <si>
    <t>invalid_3</t>
  </si>
  <si>
    <t>invalid_4</t>
  </si>
  <si>
    <t>invalid_5</t>
  </si>
  <si>
    <t>valid_1</t>
  </si>
  <si>
    <t>Execute</t>
  </si>
  <si>
    <t>ExecuteSection</t>
  </si>
  <si>
    <t>F</t>
  </si>
  <si>
    <t>Multiply</t>
  </si>
  <si>
    <t>MultiplicitySection</t>
  </si>
  <si>
    <t>Zugangsdaten</t>
  </si>
  <si>
    <t>FieldSection</t>
  </si>
  <si>
    <t>email</t>
  </si>
  <si>
    <t>FieldSubSection</t>
  </si>
  <si>
    <t>valid</t>
  </si>
  <si>
    <t>gen:1:faker:internet.email</t>
  </si>
  <si>
    <t>Gültige E-Mail-Adresse</t>
  </si>
  <si>
    <t>x</t>
  </si>
  <si>
    <t>empty</t>
  </si>
  <si>
    <t>gen::text:empty</t>
  </si>
  <si>
    <t>Pflichtfeld leer</t>
  </si>
  <si>
    <t>invalidFormat</t>
  </si>
  <si>
    <t>not-an-email</t>
  </si>
  <si>
    <t>Kein @, keine Domain</t>
  </si>
  <si>
    <t>tooLong</t>
  </si>
  <si>
    <t>gen::text:email:243</t>
  </si>
  <si>
    <t>255 Zeichen, max. 254 (RFC 5321)</t>
  </si>
  <si>
    <t>password</t>
  </si>
  <si>
    <t>gen:1:faker:internet.password</t>
  </si>
  <si>
    <t>Gültiges Passwort</t>
  </si>
  <si>
    <t>a</t>
  </si>
  <si>
    <t>e</t>
  </si>
  <si>
    <t>gen::text:alpha:129</t>
  </si>
  <si>
    <t>129 Zeichen, max. 128</t>
  </si>
  <si>
    <t>Summary</t>
  </si>
  <si>
    <t>SummarySection</t>
  </si>
  <si>
    <t>Expected Result</t>
  </si>
  <si>
    <t>MultiRowSection</t>
  </si>
  <si>
    <t>Daten sind gültig, kein Fehler</t>
  </si>
  <si>
    <t>EMAIL_EMPTY</t>
  </si>
  <si>
    <t>E-Mail ist ein Pflichtfeld</t>
  </si>
  <si>
    <t>EMAIL_FORMAT</t>
  </si>
  <si>
    <t>E-Mail hat ein ungültiges Format</t>
  </si>
  <si>
    <t>EMAIL_TOO_LONG</t>
  </si>
  <si>
    <t>E-Mail ist länger als 254 Zeichen</t>
  </si>
  <si>
    <t>PASSWORD_EMPTY</t>
  </si>
  <si>
    <t>Passwort ist ein Pflichtfeld</t>
  </si>
  <si>
    <t>PASSWORD_TOO_LONG</t>
  </si>
  <si>
    <t>Passwort ist länger als 128 Zeichen</t>
  </si>
  <si>
    <t>Category</t>
  </si>
  <si>
    <t>TagSection</t>
  </si>
  <si>
    <t>negative</t>
  </si>
  <si>
    <t>&lt;END&gt;</t>
  </si>
  <si>
    <t>unbekannterUser</t>
  </si>
  <si>
    <t>ungueltigeEingabe</t>
  </si>
  <si>
    <t>falschesPasswort</t>
  </si>
  <si>
    <t>anmeldenMitMerken</t>
  </si>
  <si>
    <t>anmeldenErfolgreich</t>
  </si>
  <si>
    <t>T</t>
  </si>
  <si>
    <t>Sekundärdaten</t>
  </si>
  <si>
    <t>sitzung</t>
  </si>
  <si>
    <t>abgemeldet</t>
  </si>
  <si>
    <t>Basiszustand: niemand angemeldet</t>
  </si>
  <si>
    <t>registrierterUser</t>
  </si>
  <si>
    <t>ja</t>
  </si>
  <si>
    <t>ref:1:User::valid_1</t>
  </si>
  <si>
    <t>Benutzer vorab per API anlegen (Instanz 1)</t>
  </si>
  <si>
    <t>nein</t>
  </si>
  <si>
    <t>Kein Benutzer angelegt</t>
  </si>
  <si>
    <t>Primärdaten</t>
  </si>
  <si>
    <t>eingabe</t>
  </si>
  <si>
    <t>gueltig</t>
  </si>
  <si>
    <t>Zugangsdaten des registrierten Benutzers (Instanz 1)</t>
  </si>
  <si>
    <t>ungueltig</t>
  </si>
  <si>
    <t>ref::User::[invalid_1-5]</t>
  </si>
  <si>
    <t>Alle Formularfehler aus User</t>
  </si>
  <si>
    <t>abweichendesPasswort</t>
  </si>
  <si>
    <t>Passwort aus eingabe wird getippt</t>
  </si>
  <si>
    <t>ref:2:User:password:valid_1</t>
  </si>
  <si>
    <t>Passwort eines anderen Benutzers (Instanz 2) statt des registrierten</t>
  </si>
  <si>
    <t>angemeldetBleiben</t>
  </si>
  <si>
    <t>false</t>
  </si>
  <si>
    <t>Checkbox nicht gesetzt</t>
  </si>
  <si>
    <t>true</t>
  </si>
  <si>
    <t>Checkbox gesetzt: Sitzung bleibt bestehen</t>
  </si>
  <si>
    <t>INVALID_CREDENTIALS</t>
  </si>
  <si>
    <t>E-Mail oder Passwort ist falsch</t>
  </si>
  <si>
    <t>FORM_INVALID</t>
  </si>
  <si>
    <t>Formularvalidierung schlägt fehl (Detail-Code siehe User)</t>
  </si>
  <si>
    <t>valid_variant</t>
  </si>
  <si>
    <t>Gültige Variante, kein Fehler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</si>
</sst>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FFFFFF"/>
    </font>
    <font>
      <color rgb="FF0070C0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4472C4"/>
      </patternFill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0" xfId="0" applyFont="1" applyFill="1"/>
    <xf numFmtId="10" fontId="1" fillId="4" borderId="0" xfId="0" applyNumberFormat="1" applyFont="1" applyFill="1"/>
    <xf numFmtId="0" fontId="1" fillId="4" borderId="0" xfId="0" applyFont="1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1" width="25" customWidth="1"/>
    <col min="2" max="2" width="20" customWidth="1"/>
    <col min="3" max="3" width="30" customWidth="1"/>
    <col min="4" max="4" width="35" customWidth="1"/>
    <col min="5" max="5" width="30" customWidth="1"/>
    <col min="6" max="11" width="5" customWidth="1"/>
  </cols>
  <sheetData>
    <row r="1" spans="1:11" x14ac:dyDescent="0.25">
      <c r="A1" s="1" t="s">
        <v>0</v>
      </c>
      <c r="B1" s="1"/>
      <c r="C1" s="1"/>
      <c r="D1" s="1"/>
      <c r="E1" s="1"/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</row>
    <row r="2" spans="1:11" x14ac:dyDescent="0.25">
      <c r="A2" s="3" t="s">
        <v>7</v>
      </c>
      <c r="B2" s="3" t="s">
        <v>8</v>
      </c>
      <c r="C2" s="3"/>
      <c r="D2" s="3"/>
      <c r="E2" s="3"/>
      <c r="F2" s="4" t="s">
        <v>9</v>
      </c>
      <c r="G2" s="4" t="s">
        <v>9</v>
      </c>
      <c r="H2" s="4" t="s">
        <v>9</v>
      </c>
      <c r="I2" s="4" t="s">
        <v>9</v>
      </c>
      <c r="J2" s="4" t="s">
        <v>9</v>
      </c>
      <c r="K2" s="4" t="s">
        <v>9</v>
      </c>
    </row>
    <row r="3" spans="1:11" x14ac:dyDescent="0.25">
      <c r="A3" s="3" t="s">
        <v>10</v>
      </c>
      <c r="B3" s="3" t="s">
        <v>11</v>
      </c>
      <c r="C3" s="3"/>
      <c r="D3" s="3"/>
      <c r="E3" s="3"/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</row>
    <row r="4" spans="1:11" x14ac:dyDescent="0.25">
      <c r="A4" s="3" t="s">
        <v>12</v>
      </c>
      <c r="B4" s="3" t="s">
        <v>13</v>
      </c>
      <c r="C4" s="3"/>
      <c r="D4" s="3"/>
      <c r="E4" s="3"/>
      <c r="F4" s="4"/>
      <c r="G4" s="4"/>
      <c r="H4" s="4"/>
      <c r="I4" s="4"/>
      <c r="J4" s="4"/>
      <c r="K4" s="4"/>
    </row>
    <row r="5" spans="1:11" x14ac:dyDescent="0.25">
      <c r="A5" s="3" t="s">
        <v>14</v>
      </c>
      <c r="B5" s="3" t="s">
        <v>15</v>
      </c>
      <c r="C5" s="3">
        <f>COUNTA(C6:C9)</f>
      </c>
      <c r="D5" s="3"/>
      <c r="E5" s="3"/>
      <c r="F5" s="4">
        <f>COUNTA(F6:F9)</f>
      </c>
      <c r="G5" s="4">
        <f>COUNTA(G6:G9)</f>
      </c>
      <c r="H5" s="4">
        <f>COUNTA(H6:H9)</f>
      </c>
      <c r="I5" s="4">
        <f>COUNTA(I6:I9)</f>
      </c>
      <c r="J5" s="4">
        <f>COUNTA(J6:J9)</f>
      </c>
      <c r="K5" s="4">
        <f>COUNTA(K6:K9)</f>
      </c>
    </row>
    <row r="6" spans="3:11" x14ac:dyDescent="0.25">
      <c r="C6" t="s">
        <v>16</v>
      </c>
      <c r="D6" t="s">
        <v>17</v>
      </c>
      <c r="E6" t="s">
        <v>18</v>
      </c>
      <c r="F6" s="5"/>
      <c r="G6" s="5"/>
      <c r="H6" s="5"/>
      <c r="I6" s="5" t="s">
        <v>19</v>
      </c>
      <c r="J6" s="5" t="s">
        <v>19</v>
      </c>
      <c r="K6" s="5" t="s">
        <v>19</v>
      </c>
    </row>
    <row r="7" spans="3:11" x14ac:dyDescent="0.25">
      <c r="C7" t="s">
        <v>20</v>
      </c>
      <c r="D7" t="s">
        <v>21</v>
      </c>
      <c r="E7" t="s">
        <v>22</v>
      </c>
      <c r="F7" s="5" t="s">
        <v>19</v>
      </c>
      <c r="G7" s="5"/>
      <c r="H7" s="5"/>
      <c r="I7" s="5"/>
      <c r="J7" s="5"/>
      <c r="K7" s="5"/>
    </row>
    <row r="8" spans="3:11" x14ac:dyDescent="0.25">
      <c r="C8" t="s">
        <v>23</v>
      </c>
      <c r="D8" t="s">
        <v>24</v>
      </c>
      <c r="E8" t="s">
        <v>25</v>
      </c>
      <c r="F8" s="5"/>
      <c r="G8" s="5" t="s">
        <v>19</v>
      </c>
      <c r="H8" s="5"/>
      <c r="I8" s="5"/>
      <c r="J8" s="5"/>
      <c r="K8" s="5"/>
    </row>
    <row r="9" spans="3:11" x14ac:dyDescent="0.25">
      <c r="C9" t="s">
        <v>26</v>
      </c>
      <c r="D9" t="s">
        <v>27</v>
      </c>
      <c r="E9" t="s">
        <v>28</v>
      </c>
      <c r="F9" s="5"/>
      <c r="G9" s="5"/>
      <c r="H9" s="5" t="s">
        <v>19</v>
      </c>
      <c r="I9" s="5"/>
      <c r="J9" s="5"/>
      <c r="K9" s="5"/>
    </row>
    <row r="10" spans="1:11" x14ac:dyDescent="0.25">
      <c r="A10" s="3" t="s">
        <v>29</v>
      </c>
      <c r="B10" s="3" t="s">
        <v>15</v>
      </c>
      <c r="C10" s="3">
        <f>COUNTA(C11:C13)</f>
      </c>
      <c r="D10" s="3"/>
      <c r="E10" s="3"/>
      <c r="F10" s="4">
        <f>COUNTA(F11:F13)</f>
      </c>
      <c r="G10" s="4">
        <f>COUNTA(G11:G13)</f>
      </c>
      <c r="H10" s="4">
        <f>COUNTA(H11:H13)</f>
      </c>
      <c r="I10" s="4">
        <f>COUNTA(I11:I13)</f>
      </c>
      <c r="J10" s="4">
        <f>COUNTA(J11:J13)</f>
      </c>
      <c r="K10" s="4">
        <f>COUNTA(K11:K13)</f>
      </c>
    </row>
    <row r="11" spans="3:11" x14ac:dyDescent="0.25">
      <c r="C11" t="s">
        <v>16</v>
      </c>
      <c r="D11" t="s">
        <v>30</v>
      </c>
      <c r="E11" t="s">
        <v>31</v>
      </c>
      <c r="F11" s="5" t="s">
        <v>32</v>
      </c>
      <c r="G11" s="5" t="s">
        <v>32</v>
      </c>
      <c r="H11" s="5" t="s">
        <v>32</v>
      </c>
      <c r="I11" s="5"/>
      <c r="J11" s="5"/>
      <c r="K11" s="5" t="s">
        <v>19</v>
      </c>
    </row>
    <row r="12" spans="3:11" x14ac:dyDescent="0.25">
      <c r="C12" t="s">
        <v>20</v>
      </c>
      <c r="D12" t="s">
        <v>21</v>
      </c>
      <c r="E12" t="s">
        <v>22</v>
      </c>
      <c r="F12" s="5" t="s">
        <v>33</v>
      </c>
      <c r="G12" s="5" t="s">
        <v>33</v>
      </c>
      <c r="H12" s="5" t="s">
        <v>33</v>
      </c>
      <c r="I12" s="5" t="s">
        <v>19</v>
      </c>
      <c r="J12" s="5"/>
      <c r="K12" s="5"/>
    </row>
    <row r="13" spans="3:11" x14ac:dyDescent="0.25">
      <c r="C13" t="s">
        <v>26</v>
      </c>
      <c r="D13" t="s">
        <v>34</v>
      </c>
      <c r="E13" t="s">
        <v>35</v>
      </c>
      <c r="F13" s="5" t="s">
        <v>33</v>
      </c>
      <c r="G13" s="5" t="s">
        <v>33</v>
      </c>
      <c r="H13" s="5" t="s">
        <v>33</v>
      </c>
      <c r="I13" s="5"/>
      <c r="J13" s="5" t="s">
        <v>19</v>
      </c>
      <c r="K13" s="5"/>
    </row>
    <row r="14" spans="1:11" x14ac:dyDescent="0.25">
      <c r="A14" s="6" t="s">
        <v>36</v>
      </c>
      <c r="B14" s="6" t="s">
        <v>37</v>
      </c>
      <c r="C14" s="6">
        <f>C5*C10</f>
      </c>
      <c r="D14" s="7">
        <f>E14/C14</f>
      </c>
      <c r="E14" s="6">
        <f>SUM(F14:K14)</f>
      </c>
      <c r="F14" s="8">
        <f>F5*F10</f>
      </c>
      <c r="G14" s="8">
        <f>G5*G10</f>
      </c>
      <c r="H14" s="8">
        <f>H5*H10</f>
      </c>
      <c r="I14" s="8">
        <f>I5*I10</f>
      </c>
      <c r="J14" s="8">
        <f>J5*J10</f>
      </c>
      <c r="K14" s="8">
        <f>K5*K10</f>
      </c>
    </row>
    <row r="15" spans="1:11" x14ac:dyDescent="0.25">
      <c r="A15" s="9" t="s">
        <v>38</v>
      </c>
      <c r="B15" s="9" t="s">
        <v>39</v>
      </c>
      <c r="C15" s="9"/>
      <c r="D15" s="9"/>
      <c r="E15" s="9"/>
      <c r="F15" s="10"/>
      <c r="G15" s="10"/>
      <c r="H15" s="10"/>
      <c r="I15" s="10"/>
      <c r="J15" s="10"/>
      <c r="K15" s="10"/>
    </row>
    <row r="16" spans="1:11" x14ac:dyDescent="0.25">
      <c r="C16" t="s">
        <v>16</v>
      </c>
      <c r="D16" t="s">
        <v>40</v>
      </c>
      <c r="F16" s="5"/>
      <c r="G16" s="5"/>
      <c r="H16" s="5"/>
      <c r="I16" s="5"/>
      <c r="J16" s="5"/>
      <c r="K16" s="5" t="s">
        <v>19</v>
      </c>
    </row>
    <row r="17" spans="1:11" x14ac:dyDescent="0.25">
      <c r="C17" t="s">
        <v>41</v>
      </c>
      <c r="D17" t="s">
        <v>42</v>
      </c>
      <c r="F17" s="5" t="s">
        <v>19</v>
      </c>
      <c r="G17" s="5"/>
      <c r="H17" s="5"/>
      <c r="I17" s="5"/>
      <c r="J17" s="5"/>
      <c r="K17" s="5"/>
    </row>
    <row r="18" spans="1:11" x14ac:dyDescent="0.25">
      <c r="C18" t="s">
        <v>43</v>
      </c>
      <c r="D18" t="s">
        <v>44</v>
      </c>
      <c r="F18" s="5"/>
      <c r="G18" s="5" t="s">
        <v>19</v>
      </c>
      <c r="H18" s="5"/>
      <c r="I18" s="5"/>
      <c r="J18" s="5"/>
      <c r="K18" s="5"/>
    </row>
    <row r="19" spans="1:11" x14ac:dyDescent="0.25">
      <c r="C19" t="s">
        <v>45</v>
      </c>
      <c r="D19" t="s">
        <v>46</v>
      </c>
      <c r="F19" s="5"/>
      <c r="G19" s="5"/>
      <c r="H19" s="5" t="s">
        <v>19</v>
      </c>
      <c r="I19" s="5"/>
      <c r="J19" s="5"/>
      <c r="K19" s="5"/>
    </row>
    <row r="20" spans="1:11" x14ac:dyDescent="0.25">
      <c r="C20" t="s">
        <v>47</v>
      </c>
      <c r="D20" t="s">
        <v>48</v>
      </c>
      <c r="F20" s="5"/>
      <c r="G20" s="5"/>
      <c r="H20" s="5"/>
      <c r="I20" s="5" t="s">
        <v>19</v>
      </c>
      <c r="J20" s="5"/>
      <c r="K20" s="5"/>
    </row>
    <row r="21" spans="1:11" x14ac:dyDescent="0.25">
      <c r="C21" t="s">
        <v>49</v>
      </c>
      <c r="D21" t="s">
        <v>50</v>
      </c>
      <c r="F21" s="5"/>
      <c r="G21" s="5"/>
      <c r="H21" s="5"/>
      <c r="I21" s="5"/>
      <c r="J21" s="5" t="s">
        <v>19</v>
      </c>
      <c r="K21" s="5"/>
    </row>
    <row r="22" spans="1:11" x14ac:dyDescent="0.25">
      <c r="A22" s="3" t="s">
        <v>51</v>
      </c>
      <c r="B22" s="3" t="s">
        <v>52</v>
      </c>
      <c r="C22" s="3"/>
      <c r="D22" s="3"/>
      <c r="E22" s="3"/>
      <c r="F22" s="4"/>
      <c r="G22" s="4"/>
      <c r="H22" s="4"/>
      <c r="I22" s="4"/>
      <c r="J22" s="4"/>
      <c r="K22" s="4"/>
    </row>
    <row r="23" spans="1:11" x14ac:dyDescent="0.25">
      <c r="C23" t="s">
        <v>53</v>
      </c>
      <c r="F23" s="5" t="s">
        <v>19</v>
      </c>
      <c r="G23" s="5" t="s">
        <v>19</v>
      </c>
      <c r="H23" s="5" t="s">
        <v>19</v>
      </c>
      <c r="I23" s="5" t="s">
        <v>19</v>
      </c>
      <c r="J23" s="5" t="s">
        <v>19</v>
      </c>
      <c r="K23" s="5"/>
    </row>
    <row r="24" spans="1:11" x14ac:dyDescent="0.25">
      <c r="C24" t="s">
        <v>16</v>
      </c>
      <c r="F24" s="5"/>
      <c r="G24" s="5"/>
      <c r="H24" s="5"/>
      <c r="I24" s="5"/>
      <c r="J24" s="5"/>
      <c r="K24" s="5" t="s">
        <v>19</v>
      </c>
    </row>
    <row r="25" spans="1:11" x14ac:dyDescent="0.25">
      <c r="A25" s="3" t="s">
        <v>54</v>
      </c>
      <c r="B25" s="3"/>
      <c r="C25" s="3"/>
      <c r="D25" s="3"/>
      <c r="E25" s="3"/>
      <c r="F25" s="4"/>
      <c r="G25" s="4"/>
      <c r="H25" s="4"/>
      <c r="I25" s="4"/>
      <c r="J25" s="4"/>
      <c r="K25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25" customWidth="1"/>
    <col min="2" max="2" width="20" customWidth="1"/>
    <col min="3" max="3" width="30" customWidth="1"/>
    <col min="4" max="4" width="35" customWidth="1"/>
    <col min="5" max="5" width="30" customWidth="1"/>
    <col min="6" max="10" width="5" customWidth="1"/>
  </cols>
  <sheetData>
    <row r="1" spans="1:10" x14ac:dyDescent="0.25">
      <c r="A1" s="1" t="s">
        <v>0</v>
      </c>
      <c r="B1" s="1"/>
      <c r="C1" s="1"/>
      <c r="D1" s="1"/>
      <c r="E1" s="1"/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</row>
    <row r="2" spans="1:10" x14ac:dyDescent="0.25">
      <c r="A2" s="3" t="s">
        <v>7</v>
      </c>
      <c r="B2" s="3" t="s">
        <v>8</v>
      </c>
      <c r="C2" s="3"/>
      <c r="D2" s="3"/>
      <c r="E2" s="3"/>
      <c r="F2" s="4" t="s">
        <v>60</v>
      </c>
      <c r="G2" s="4" t="s">
        <v>60</v>
      </c>
      <c r="H2" s="4" t="s">
        <v>60</v>
      </c>
      <c r="I2" s="4" t="s">
        <v>60</v>
      </c>
      <c r="J2" s="4" t="s">
        <v>60</v>
      </c>
    </row>
    <row r="3" spans="1:10" x14ac:dyDescent="0.25">
      <c r="A3" s="3" t="s">
        <v>10</v>
      </c>
      <c r="B3" s="3" t="s">
        <v>11</v>
      </c>
      <c r="C3" s="3"/>
      <c r="D3" s="3"/>
      <c r="E3" s="3"/>
      <c r="F3" s="4">
        <v>1</v>
      </c>
      <c r="G3" s="4">
        <v>1</v>
      </c>
      <c r="H3" s="4">
        <v>1</v>
      </c>
      <c r="I3" s="4">
        <v>1</v>
      </c>
      <c r="J3" s="4">
        <v>1</v>
      </c>
    </row>
    <row r="4" spans="1:10" x14ac:dyDescent="0.25">
      <c r="A4" s="3" t="s">
        <v>61</v>
      </c>
      <c r="B4" s="3" t="s">
        <v>13</v>
      </c>
      <c r="C4" s="3"/>
      <c r="D4" s="3"/>
      <c r="E4" s="3"/>
      <c r="F4" s="4"/>
      <c r="G4" s="4"/>
      <c r="H4" s="4"/>
      <c r="I4" s="4"/>
      <c r="J4" s="4"/>
    </row>
    <row r="5" spans="1:10" x14ac:dyDescent="0.25">
      <c r="A5" s="3" t="s">
        <v>62</v>
      </c>
      <c r="B5" s="3" t="s">
        <v>15</v>
      </c>
      <c r="C5" s="3">
        <f>COUNTA(C6:C6)</f>
      </c>
      <c r="D5" s="3"/>
      <c r="E5" s="3"/>
      <c r="F5" s="4">
        <f>COUNTA(F6:F6)</f>
      </c>
      <c r="G5" s="4">
        <f>COUNTA(G6:G6)</f>
      </c>
      <c r="H5" s="4">
        <f>COUNTA(H6:H6)</f>
      </c>
      <c r="I5" s="4">
        <f>COUNTA(I6:I6)</f>
      </c>
      <c r="J5" s="4">
        <f>COUNTA(J6:J6)</f>
      </c>
    </row>
    <row r="6" spans="3:10" x14ac:dyDescent="0.25">
      <c r="C6" t="s">
        <v>63</v>
      </c>
      <c r="E6" t="s">
        <v>64</v>
      </c>
      <c r="F6" s="5" t="s">
        <v>19</v>
      </c>
      <c r="G6" s="5" t="s">
        <v>19</v>
      </c>
      <c r="H6" s="5" t="s">
        <v>19</v>
      </c>
      <c r="I6" s="5" t="s">
        <v>19</v>
      </c>
      <c r="J6" s="5" t="s">
        <v>19</v>
      </c>
    </row>
    <row r="7" spans="1:10" x14ac:dyDescent="0.25">
      <c r="A7" s="3" t="s">
        <v>65</v>
      </c>
      <c r="B7" s="3" t="s">
        <v>15</v>
      </c>
      <c r="C7" s="3">
        <f>COUNTA(C8:C9)</f>
      </c>
      <c r="D7" s="3"/>
      <c r="E7" s="3"/>
      <c r="F7" s="4">
        <f>COUNTA(F8:F9)</f>
      </c>
      <c r="G7" s="4">
        <f>COUNTA(G8:G9)</f>
      </c>
      <c r="H7" s="4">
        <f>COUNTA(H8:H9)</f>
      </c>
      <c r="I7" s="4">
        <f>COUNTA(I8:I9)</f>
      </c>
      <c r="J7" s="4">
        <f>COUNTA(J8:J9)</f>
      </c>
    </row>
    <row r="8" spans="3:10" x14ac:dyDescent="0.25">
      <c r="C8" t="s">
        <v>66</v>
      </c>
      <c r="D8" t="s">
        <v>67</v>
      </c>
      <c r="E8" t="s">
        <v>68</v>
      </c>
      <c r="F8" s="5"/>
      <c r="G8" s="5" t="s">
        <v>19</v>
      </c>
      <c r="H8" s="5" t="s">
        <v>19</v>
      </c>
      <c r="I8" s="5" t="s">
        <v>19</v>
      </c>
      <c r="J8" s="5" t="s">
        <v>19</v>
      </c>
    </row>
    <row r="9" spans="3:10" x14ac:dyDescent="0.25">
      <c r="C9" t="s">
        <v>69</v>
      </c>
      <c r="E9" t="s">
        <v>70</v>
      </c>
      <c r="F9" s="5" t="s">
        <v>19</v>
      </c>
      <c r="G9" s="5"/>
      <c r="H9" s="5"/>
      <c r="I9" s="5"/>
      <c r="J9" s="5"/>
    </row>
    <row r="10" spans="1:10" x14ac:dyDescent="0.25">
      <c r="A10" s="3" t="s">
        <v>71</v>
      </c>
      <c r="B10" s="3" t="s">
        <v>13</v>
      </c>
      <c r="C10" s="3"/>
      <c r="D10" s="3"/>
      <c r="E10" s="3"/>
      <c r="F10" s="4"/>
      <c r="G10" s="4"/>
      <c r="H10" s="4"/>
      <c r="I10" s="4"/>
      <c r="J10" s="4"/>
    </row>
    <row r="11" spans="1:10" x14ac:dyDescent="0.25">
      <c r="A11" s="3" t="s">
        <v>72</v>
      </c>
      <c r="B11" s="3" t="s">
        <v>15</v>
      </c>
      <c r="C11" s="3">
        <f>COUNTA(C12:C13)</f>
      </c>
      <c r="D11" s="3"/>
      <c r="E11" s="3"/>
      <c r="F11" s="4">
        <f>COUNTA(F12:F13)</f>
      </c>
      <c r="G11" s="4">
        <f>COUNTA(G12:G13)</f>
      </c>
      <c r="H11" s="4">
        <f>COUNTA(H12:H13)</f>
      </c>
      <c r="I11" s="4">
        <f>COUNTA(I12:I13)</f>
      </c>
      <c r="J11" s="4">
        <f>COUNTA(J12:J13)</f>
      </c>
    </row>
    <row r="12" spans="3:10" x14ac:dyDescent="0.25">
      <c r="C12" t="s">
        <v>73</v>
      </c>
      <c r="D12" t="s">
        <v>67</v>
      </c>
      <c r="E12" t="s">
        <v>74</v>
      </c>
      <c r="F12" s="5" t="s">
        <v>32</v>
      </c>
      <c r="G12" s="5"/>
      <c r="H12" s="5" t="s">
        <v>19</v>
      </c>
      <c r="I12" s="5" t="s">
        <v>19</v>
      </c>
      <c r="J12" s="5" t="s">
        <v>19</v>
      </c>
    </row>
    <row r="13" spans="3:10" x14ac:dyDescent="0.25">
      <c r="C13" t="s">
        <v>75</v>
      </c>
      <c r="D13" t="s">
        <v>76</v>
      </c>
      <c r="E13" t="s">
        <v>77</v>
      </c>
      <c r="F13" s="5" t="s">
        <v>33</v>
      </c>
      <c r="G13" s="5" t="s">
        <v>19</v>
      </c>
      <c r="H13" s="5"/>
      <c r="I13" s="5"/>
      <c r="J13" s="5"/>
    </row>
    <row r="14" spans="1:10" x14ac:dyDescent="0.25">
      <c r="A14" s="3" t="s">
        <v>78</v>
      </c>
      <c r="B14" s="3" t="s">
        <v>15</v>
      </c>
      <c r="C14" s="3">
        <f>COUNTA(C15:C16)</f>
      </c>
      <c r="D14" s="3"/>
      <c r="E14" s="3"/>
      <c r="F14" s="4">
        <f>COUNTA(F15:F16)</f>
      </c>
      <c r="G14" s="4">
        <f>COUNTA(G15:G16)</f>
      </c>
      <c r="H14" s="4">
        <f>COUNTA(H15:H16)</f>
      </c>
      <c r="I14" s="4">
        <f>COUNTA(I15:I16)</f>
      </c>
      <c r="J14" s="4">
        <f>COUNTA(J15:J16)</f>
      </c>
    </row>
    <row r="15" spans="3:10" x14ac:dyDescent="0.25">
      <c r="C15" t="s">
        <v>69</v>
      </c>
      <c r="E15" t="s">
        <v>79</v>
      </c>
      <c r="F15" s="5" t="s">
        <v>32</v>
      </c>
      <c r="G15" s="5" t="s">
        <v>32</v>
      </c>
      <c r="H15" s="5"/>
      <c r="I15" s="5" t="s">
        <v>19</v>
      </c>
      <c r="J15" s="5" t="s">
        <v>19</v>
      </c>
    </row>
    <row r="16" spans="3:10" x14ac:dyDescent="0.25">
      <c r="C16" t="s">
        <v>66</v>
      </c>
      <c r="D16" t="s">
        <v>80</v>
      </c>
      <c r="E16" t="s">
        <v>81</v>
      </c>
      <c r="F16" s="5" t="s">
        <v>33</v>
      </c>
      <c r="G16" s="5" t="s">
        <v>33</v>
      </c>
      <c r="H16" s="5" t="s">
        <v>19</v>
      </c>
      <c r="I16" s="5"/>
      <c r="J16" s="5"/>
    </row>
    <row r="17" spans="1:10" x14ac:dyDescent="0.25">
      <c r="A17" s="3" t="s">
        <v>82</v>
      </c>
      <c r="B17" s="3" t="s">
        <v>15</v>
      </c>
      <c r="C17" s="3">
        <f>COUNTA(C18:C19)</f>
      </c>
      <c r="D17" s="3"/>
      <c r="E17" s="3"/>
      <c r="F17" s="4">
        <f>COUNTA(F18:F19)</f>
      </c>
      <c r="G17" s="4">
        <f>COUNTA(G18:G19)</f>
      </c>
      <c r="H17" s="4">
        <f>COUNTA(H18:H19)</f>
      </c>
      <c r="I17" s="4">
        <f>COUNTA(I18:I19)</f>
      </c>
      <c r="J17" s="4">
        <f>COUNTA(J18:J19)</f>
      </c>
    </row>
    <row r="18" spans="3:10" x14ac:dyDescent="0.25">
      <c r="C18" t="s">
        <v>83</v>
      </c>
      <c r="D18" t="s">
        <v>83</v>
      </c>
      <c r="E18" t="s">
        <v>84</v>
      </c>
      <c r="F18" s="5" t="s">
        <v>32</v>
      </c>
      <c r="G18" s="5" t="s">
        <v>32</v>
      </c>
      <c r="H18" s="5" t="s">
        <v>32</v>
      </c>
      <c r="I18" s="5"/>
      <c r="J18" s="5" t="s">
        <v>19</v>
      </c>
    </row>
    <row r="19" spans="3:10" x14ac:dyDescent="0.25">
      <c r="C19" t="s">
        <v>85</v>
      </c>
      <c r="D19" t="s">
        <v>85</v>
      </c>
      <c r="E19" t="s">
        <v>86</v>
      </c>
      <c r="F19" s="5" t="s">
        <v>33</v>
      </c>
      <c r="G19" s="5" t="s">
        <v>33</v>
      </c>
      <c r="H19" s="5" t="s">
        <v>33</v>
      </c>
      <c r="I19" s="5" t="s">
        <v>19</v>
      </c>
      <c r="J19" s="5"/>
    </row>
    <row r="20" spans="1:10" x14ac:dyDescent="0.25">
      <c r="A20" s="6" t="s">
        <v>36</v>
      </c>
      <c r="B20" s="6" t="s">
        <v>37</v>
      </c>
      <c r="C20" s="6">
        <f>C5*C7*C11*C14*C17</f>
      </c>
      <c r="D20" s="7">
        <f>E20/C20</f>
      </c>
      <c r="E20" s="6">
        <f>SUM(F20:J20)</f>
      </c>
      <c r="F20" s="8">
        <f>F5*F7*F11*F14*F17</f>
      </c>
      <c r="G20" s="8">
        <f>G5*G7*G11*G14*G17</f>
      </c>
      <c r="H20" s="8">
        <f>H5*H7*H11*H14*H17</f>
      </c>
      <c r="I20" s="8">
        <f>I5*I7*I11*I14*I17</f>
      </c>
      <c r="J20" s="8">
        <f>J5*J7*J11*J14*J17</f>
      </c>
    </row>
    <row r="21" spans="1:10" x14ac:dyDescent="0.25">
      <c r="A21" s="9" t="s">
        <v>38</v>
      </c>
      <c r="B21" s="9" t="s">
        <v>39</v>
      </c>
      <c r="C21" s="9"/>
      <c r="D21" s="9"/>
      <c r="E21" s="9"/>
      <c r="F21" s="10"/>
      <c r="G21" s="10"/>
      <c r="H21" s="10"/>
      <c r="I21" s="10"/>
      <c r="J21" s="10"/>
    </row>
    <row r="22" spans="1:10" x14ac:dyDescent="0.25">
      <c r="C22" t="s">
        <v>16</v>
      </c>
      <c r="D22" t="s">
        <v>40</v>
      </c>
      <c r="F22" s="5"/>
      <c r="G22" s="5"/>
      <c r="H22" s="5"/>
      <c r="I22" s="5"/>
      <c r="J22" s="5" t="s">
        <v>19</v>
      </c>
    </row>
    <row r="23" spans="1:10" x14ac:dyDescent="0.25">
      <c r="C23" t="s">
        <v>87</v>
      </c>
      <c r="D23" t="s">
        <v>88</v>
      </c>
      <c r="F23" s="5" t="s">
        <v>19</v>
      </c>
      <c r="G23" s="5"/>
      <c r="H23" s="5" t="s">
        <v>19</v>
      </c>
      <c r="I23" s="5"/>
      <c r="J23" s="5"/>
    </row>
    <row r="24" spans="1:10" x14ac:dyDescent="0.25">
      <c r="C24" t="s">
        <v>89</v>
      </c>
      <c r="D24" t="s">
        <v>90</v>
      </c>
      <c r="F24" s="5"/>
      <c r="G24" s="5" t="s">
        <v>19</v>
      </c>
      <c r="H24" s="5"/>
      <c r="I24" s="5"/>
      <c r="J24" s="5"/>
    </row>
    <row r="25" spans="1:10" x14ac:dyDescent="0.25">
      <c r="C25" t="s">
        <v>91</v>
      </c>
      <c r="D25" t="s">
        <v>92</v>
      </c>
      <c r="F25" s="5"/>
      <c r="G25" s="5"/>
      <c r="H25" s="5"/>
      <c r="I25" s="5" t="s">
        <v>19</v>
      </c>
      <c r="J25" s="5"/>
    </row>
    <row r="26" spans="1:10" x14ac:dyDescent="0.25">
      <c r="A26" s="3" t="s">
        <v>51</v>
      </c>
      <c r="B26" s="3" t="s">
        <v>52</v>
      </c>
      <c r="C26" s="3"/>
      <c r="D26" s="3"/>
      <c r="E26" s="3"/>
      <c r="F26" s="4"/>
      <c r="G26" s="4"/>
      <c r="H26" s="4"/>
      <c r="I26" s="4"/>
      <c r="J26" s="4"/>
    </row>
    <row r="27" spans="1:10" x14ac:dyDescent="0.25">
      <c r="C27" t="s">
        <v>53</v>
      </c>
      <c r="F27" s="5" t="s">
        <v>19</v>
      </c>
      <c r="G27" s="5" t="s">
        <v>19</v>
      </c>
      <c r="H27" s="5" t="s">
        <v>19</v>
      </c>
      <c r="I27" s="5"/>
      <c r="J27" s="5"/>
    </row>
    <row r="28" spans="1:10" x14ac:dyDescent="0.25">
      <c r="C28" t="s">
        <v>16</v>
      </c>
      <c r="F28" s="5"/>
      <c r="G28" s="5"/>
      <c r="H28" s="5"/>
      <c r="I28" s="5" t="s">
        <v>19</v>
      </c>
      <c r="J28" s="5" t="s">
        <v>19</v>
      </c>
    </row>
    <row r="29" spans="1:10" x14ac:dyDescent="0.25">
      <c r="A29" s="3" t="s">
        <v>54</v>
      </c>
      <c r="B29" s="3"/>
      <c r="C29" s="3"/>
      <c r="D29" s="3"/>
      <c r="E29" s="3"/>
      <c r="F29" s="4"/>
      <c r="G29" s="4"/>
      <c r="H29" s="4"/>
      <c r="I29" s="4"/>
      <c r="J29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</vt:lpstr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2026-10-02T12:46:17Z</dcterms:created>
  <dcterms:modified xsi:type="dcterms:W3CDTF">2026-10-02T12:46:17Z</dcterms:modified>
</cp:coreProperties>
</file>